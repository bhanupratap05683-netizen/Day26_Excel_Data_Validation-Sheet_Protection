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ea84ffcf41a175/Documents/Day26_Excel_Data_validation ^0 Protection/"/>
    </mc:Choice>
  </mc:AlternateContent>
  <xr:revisionPtr revIDLastSave="19" documentId="11_DC058E530C3F055B5BF9B38A4ED08550F68ACE78" xr6:coauthVersionLast="47" xr6:coauthVersionMax="47" xr10:uidLastSave="{4AC15E0F-C1B8-4759-852E-5BFE2DC44540}"/>
  <bookViews>
    <workbookView xWindow="-108" yWindow="-108" windowWidth="23256" windowHeight="12456" tabRatio="500" activeTab="1" xr2:uid="{00000000-000D-0000-FFFF-FFFF00000000}"/>
  </bookViews>
  <sheets>
    <sheet name="Loan_Application" sheetId="1" r:id="rId1"/>
    <sheet name="Expenses_Raw" sheetId="2" r:id="rId2"/>
    <sheet name="_Ref_Lis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2" i="1"/>
  <c r="C20" i="1"/>
  <c r="C19" i="1"/>
  <c r="C23" i="1"/>
</calcChain>
</file>

<file path=xl/sharedStrings.xml><?xml version="1.0" encoding="utf-8"?>
<sst xmlns="http://schemas.openxmlformats.org/spreadsheetml/2006/main" count="121" uniqueCount="90">
  <si>
    <t>LOAN APPLICATION FORM – VALIDATION PRACTICE</t>
  </si>
  <si>
    <t>Yellow = Input  |  Blue = Formula (Locked)  |  Run Python script to add validation rules</t>
  </si>
  <si>
    <t>SECTION A – APPLICANT DETAILS</t>
  </si>
  <si>
    <t>Applicant Name</t>
  </si>
  <si>
    <t>Applicant ID (AID-XXXX)</t>
  </si>
  <si>
    <t>Department</t>
  </si>
  <si>
    <t>Employment Type</t>
  </si>
  <si>
    <t>Annual Income (₹)</t>
  </si>
  <si>
    <t>Credit Score (300-900)</t>
  </si>
  <si>
    <t>SECTION B – LOAN DETAILS</t>
  </si>
  <si>
    <t>Loan Type</t>
  </si>
  <si>
    <t>Loan Amount (₹)</t>
  </si>
  <si>
    <t>Tenure (Months)</t>
  </si>
  <si>
    <t>Interest Rate (%)</t>
  </si>
  <si>
    <t>Purpose</t>
  </si>
  <si>
    <t>SECTION C – CALCULATED SUMMARY (LOCKED)</t>
  </si>
  <si>
    <t>Monthly EMI (₹)</t>
  </si>
  <si>
    <t>Total Payment (₹)</t>
  </si>
  <si>
    <t>Total Interest (₹)</t>
  </si>
  <si>
    <t>Debt-to-Income Ratio</t>
  </si>
  <si>
    <t>Eligibility Status</t>
  </si>
  <si>
    <t>RAW EXPENSE DATA – Your Python script will add validation &amp; protection here</t>
  </si>
  <si>
    <t>Date</t>
  </si>
  <si>
    <t>Employee ID</t>
  </si>
  <si>
    <t>Category</t>
  </si>
  <si>
    <t>Amount (₹)</t>
  </si>
  <si>
    <t>Approved?</t>
  </si>
  <si>
    <t>Notes</t>
  </si>
  <si>
    <t>2026-04-01</t>
  </si>
  <si>
    <t>EMP-001</t>
  </si>
  <si>
    <t>Finance</t>
  </si>
  <si>
    <t>Travel</t>
  </si>
  <si>
    <t>Yes</t>
  </si>
  <si>
    <t>Mumbai trip</t>
  </si>
  <si>
    <t>2026-04-03</t>
  </si>
  <si>
    <t>EMP-002</t>
  </si>
  <si>
    <t>HR</t>
  </si>
  <si>
    <t>Food</t>
  </si>
  <si>
    <t>No</t>
  </si>
  <si>
    <t>Team lunch</t>
  </si>
  <si>
    <t>2026-04-05</t>
  </si>
  <si>
    <t>EMP-003</t>
  </si>
  <si>
    <t>Software</t>
  </si>
  <si>
    <t>Excel license</t>
  </si>
  <si>
    <t>2026-04-07</t>
  </si>
  <si>
    <t>EMP-004</t>
  </si>
  <si>
    <t>Ops</t>
  </si>
  <si>
    <t>Delhi trip</t>
  </si>
  <si>
    <t>2026-04-09</t>
  </si>
  <si>
    <t>EMP-005</t>
  </si>
  <si>
    <t>IT</t>
  </si>
  <si>
    <t>Hardware</t>
  </si>
  <si>
    <t>Keyboard</t>
  </si>
  <si>
    <t>2026-04-11</t>
  </si>
  <si>
    <t>EMP-006</t>
  </si>
  <si>
    <t>Client meeting</t>
  </si>
  <si>
    <t>2026-04-13</t>
  </si>
  <si>
    <t>EMP-007</t>
  </si>
  <si>
    <t>Training</t>
  </si>
  <si>
    <t>Excel course</t>
  </si>
  <si>
    <t>2026-04-15</t>
  </si>
  <si>
    <t>EMP-008</t>
  </si>
  <si>
    <t>Pune trip</t>
  </si>
  <si>
    <t>2026-04-17</t>
  </si>
  <si>
    <t>EMP-009</t>
  </si>
  <si>
    <t>Antivirus</t>
  </si>
  <si>
    <t>2026-04-19</t>
  </si>
  <si>
    <t>EMP-010</t>
  </si>
  <si>
    <t>Monitor</t>
  </si>
  <si>
    <t>Departments</t>
  </si>
  <si>
    <t>Categories</t>
  </si>
  <si>
    <t>Loan Types</t>
  </si>
  <si>
    <t>Employment Types</t>
  </si>
  <si>
    <t>Home Loan</t>
  </si>
  <si>
    <t>Full-Time</t>
  </si>
  <si>
    <t>Personal Loan</t>
  </si>
  <si>
    <t>Part-Time</t>
  </si>
  <si>
    <t>Operations</t>
  </si>
  <si>
    <t>Education Loan</t>
  </si>
  <si>
    <t>Contract</t>
  </si>
  <si>
    <t>Vehicle Loan</t>
  </si>
  <si>
    <t>Intern</t>
  </si>
  <si>
    <t>Marketing</t>
  </si>
  <si>
    <t>Business Loan</t>
  </si>
  <si>
    <t>Legal</t>
  </si>
  <si>
    <t>Utilities</t>
  </si>
  <si>
    <t>Other</t>
  </si>
  <si>
    <t>For CFA Fess</t>
  </si>
  <si>
    <t>IVC1243C345F23A123</t>
  </si>
  <si>
    <t>TOM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</si>
</sst>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FFFFFF"/>
      <name val="Cambria"/>
      <charset val="1"/>
    </font>
    <font>
      <i/>
      <sz val="9"/>
      <color rgb="FF7F0000"/>
      <name val="Cambria"/>
      <charset val="1"/>
    </font>
    <font>
      <b/>
      <sz val="10"/>
      <name val="Cambria"/>
      <charset val="1"/>
    </font>
    <font>
      <b/>
      <sz val="10"/>
      <color rgb="FF1F3864"/>
      <name val="Cambria"/>
      <charset val="1"/>
    </font>
    <font>
      <sz val="10"/>
      <color rgb="FF000080"/>
      <name val="Cambria"/>
      <charset val="1"/>
    </font>
    <font>
      <b/>
      <sz val="10"/>
      <color rgb="FF000080"/>
      <name val="Cambria"/>
      <charset val="1"/>
    </font>
    <font>
      <b/>
      <sz val="11"/>
      <color rgb="FFFFFFFF"/>
      <name val="Cambria"/>
      <charset val="1"/>
    </font>
    <font>
      <b/>
      <sz val="10"/>
      <color rgb="FFFFFFFF"/>
      <name val="Cambria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F2F2F2"/>
        <bgColor rgb="FFEBF1F9"/>
      </patternFill>
    </fill>
    <fill>
      <patternFill patternType="solid">
        <fgColor rgb="FFD9E1F2"/>
        <bgColor rgb="FFDDEEFF"/>
      </patternFill>
    </fill>
    <fill>
      <patternFill patternType="solid">
        <fgColor rgb="FFDDEEFF"/>
        <bgColor rgb="FFEBF1F9"/>
      </patternFill>
    </fill>
    <fill>
      <patternFill patternType="solid">
        <fgColor rgb="FFC5D9F1"/>
        <bgColor rgb="FFD9E1F2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EBF1F9"/>
        <b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8" fillId="7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0" fontId="7" fillId="2" borderId="2" xfId="0" applyFont="1" applyFill="1" applyBorder="1"/>
    <xf numFmtId="0" fontId="0" fillId="0" borderId="0" xfId="0" applyProtection="1">
      <protection locked="0"/>
    </xf>
    <xf numFmtId="0" fontId="3" fillId="3" borderId="0" xfId="0" applyFont="1" applyFill="1" applyProtection="1">
      <protection locked="0"/>
    </xf>
    <xf numFmtId="0" fontId="6" fillId="6" borderId="2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4" fillId="4" borderId="1" xfId="0" applyFont="1" applyFill="1" applyBorder="1" applyAlignment="1" applyProtection="1">
      <alignment vertical="center"/>
      <protection locked="0"/>
    </xf>
    <xf numFmtId="0" fontId="0" fillId="0" borderId="3" xfId="0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EFF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F9"/>
      <rgbColor rgb="FFD9E1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topLeftCell="A5" zoomScaleNormal="100" workbookViewId="0">
      <selection activeCell="C15" sqref="C15:D15"/>
    </sheetView>
  </sheetViews>
  <sheetFormatPr defaultColWidth="8.6640625" defaultRowHeight="14.4" x14ac:dyDescent="0.3"/>
  <cols>
    <col min="1" max="1" width="5" customWidth="1"/>
    <col min="2" max="2" width="25" customWidth="1"/>
    <col min="3" max="3" width="24.33203125" customWidth="1"/>
    <col min="4" max="4" width="1" customWidth="1"/>
    <col min="5" max="5" width="22" customWidth="1"/>
    <col min="6" max="6" width="5" customWidth="1"/>
  </cols>
  <sheetData>
    <row r="1" spans="1:6" ht="30" customHeight="1" x14ac:dyDescent="0.3">
      <c r="A1" s="16" t="s">
        <v>0</v>
      </c>
      <c r="B1" s="13"/>
      <c r="C1" s="13"/>
      <c r="D1" s="13"/>
      <c r="E1" s="13"/>
      <c r="F1" s="13"/>
    </row>
    <row r="2" spans="1:6" x14ac:dyDescent="0.3">
      <c r="A2" s="14" t="s">
        <v>1</v>
      </c>
      <c r="B2" s="15"/>
      <c r="C2" s="15"/>
      <c r="D2" s="15"/>
      <c r="E2" s="15"/>
      <c r="F2" s="15"/>
    </row>
    <row r="3" spans="1:6" x14ac:dyDescent="0.3">
      <c r="A3" s="8" t="s">
        <v>2</v>
      </c>
      <c r="B3" s="7"/>
      <c r="C3" s="7"/>
      <c r="D3" s="7"/>
      <c r="E3" s="7"/>
      <c r="F3" s="7"/>
    </row>
    <row r="4" spans="1:6" ht="19.5" customHeight="1" x14ac:dyDescent="0.3">
      <c r="A4" s="12" t="s">
        <v>3</v>
      </c>
      <c r="B4" s="13"/>
      <c r="C4" s="10" t="s">
        <v>89</v>
      </c>
      <c r="D4" s="11"/>
      <c r="E4" s="7"/>
      <c r="F4" s="7"/>
    </row>
    <row r="5" spans="1:6" ht="19.5" customHeight="1" x14ac:dyDescent="0.3">
      <c r="A5" s="12" t="s">
        <v>4</v>
      </c>
      <c r="B5" s="13"/>
      <c r="C5" s="10" t="s">
        <v>88</v>
      </c>
      <c r="D5" s="11"/>
      <c r="E5" s="7"/>
      <c r="F5" s="7"/>
    </row>
    <row r="6" spans="1:6" ht="19.5" customHeight="1" x14ac:dyDescent="0.3">
      <c r="A6" s="12" t="s">
        <v>5</v>
      </c>
      <c r="B6" s="13"/>
      <c r="C6" s="10" t="s">
        <v>36</v>
      </c>
      <c r="D6" s="11"/>
      <c r="E6" s="7"/>
      <c r="F6" s="7"/>
    </row>
    <row r="7" spans="1:6" ht="19.5" customHeight="1" x14ac:dyDescent="0.3">
      <c r="A7" s="12" t="s">
        <v>6</v>
      </c>
      <c r="B7" s="13"/>
      <c r="C7" s="10" t="s">
        <v>81</v>
      </c>
      <c r="D7" s="11"/>
      <c r="E7" s="7"/>
      <c r="F7" s="7"/>
    </row>
    <row r="8" spans="1:6" ht="19.5" customHeight="1" x14ac:dyDescent="0.3">
      <c r="A8" s="12" t="s">
        <v>7</v>
      </c>
      <c r="B8" s="13"/>
      <c r="C8" s="10">
        <v>10000</v>
      </c>
      <c r="D8" s="11"/>
      <c r="E8" s="7"/>
      <c r="F8" s="7"/>
    </row>
    <row r="9" spans="1:6" ht="19.5" customHeight="1" x14ac:dyDescent="0.3">
      <c r="A9" s="12" t="s">
        <v>8</v>
      </c>
      <c r="B9" s="13"/>
      <c r="C9" s="10">
        <v>600</v>
      </c>
      <c r="D9" s="11"/>
      <c r="E9" s="7"/>
      <c r="F9" s="7"/>
    </row>
    <row r="10" spans="1:6" x14ac:dyDescent="0.3">
      <c r="A10" s="7"/>
      <c r="B10" s="7"/>
      <c r="C10" s="7"/>
      <c r="D10" s="7"/>
      <c r="E10" s="7"/>
      <c r="F10" s="7"/>
    </row>
    <row r="11" spans="1:6" x14ac:dyDescent="0.3">
      <c r="A11" s="8" t="s">
        <v>9</v>
      </c>
      <c r="B11" s="7"/>
      <c r="C11" s="7"/>
      <c r="D11" s="7"/>
      <c r="E11" s="7"/>
      <c r="F11" s="7"/>
    </row>
    <row r="12" spans="1:6" ht="19.5" customHeight="1" x14ac:dyDescent="0.3">
      <c r="A12" s="12" t="s">
        <v>10</v>
      </c>
      <c r="B12" s="13"/>
      <c r="C12" s="10" t="s">
        <v>78</v>
      </c>
      <c r="D12" s="11"/>
      <c r="E12" s="7"/>
      <c r="F12" s="7"/>
    </row>
    <row r="13" spans="1:6" ht="19.5" customHeight="1" x14ac:dyDescent="0.3">
      <c r="A13" s="12" t="s">
        <v>11</v>
      </c>
      <c r="B13" s="13"/>
      <c r="C13" s="10">
        <v>100000</v>
      </c>
      <c r="D13" s="11"/>
      <c r="E13" s="7"/>
      <c r="F13" s="7"/>
    </row>
    <row r="14" spans="1:6" ht="19.5" customHeight="1" x14ac:dyDescent="0.3">
      <c r="A14" s="12" t="s">
        <v>12</v>
      </c>
      <c r="B14" s="13"/>
      <c r="C14" s="10">
        <v>12</v>
      </c>
      <c r="D14" s="11"/>
      <c r="E14" s="7"/>
      <c r="F14" s="7"/>
    </row>
    <row r="15" spans="1:6" ht="19.5" customHeight="1" x14ac:dyDescent="0.3">
      <c r="A15" s="12" t="s">
        <v>13</v>
      </c>
      <c r="B15" s="13"/>
      <c r="C15" s="10">
        <v>8.5</v>
      </c>
      <c r="D15" s="11"/>
      <c r="E15" s="7"/>
      <c r="F15" s="7"/>
    </row>
    <row r="16" spans="1:6" ht="19.5" customHeight="1" x14ac:dyDescent="0.3">
      <c r="A16" s="12" t="s">
        <v>14</v>
      </c>
      <c r="B16" s="13"/>
      <c r="C16" s="10" t="s">
        <v>87</v>
      </c>
      <c r="D16" s="11"/>
      <c r="E16" s="7"/>
      <c r="F16" s="7"/>
    </row>
    <row r="17" spans="1:6" x14ac:dyDescent="0.3">
      <c r="A17" s="7"/>
      <c r="B17" s="7"/>
      <c r="C17" s="7"/>
      <c r="D17" s="7"/>
      <c r="E17" s="7"/>
      <c r="F17" s="7"/>
    </row>
    <row r="18" spans="1:6" x14ac:dyDescent="0.3">
      <c r="A18" s="8" t="s">
        <v>15</v>
      </c>
      <c r="B18" s="7"/>
      <c r="C18" s="7"/>
      <c r="D18" s="7"/>
      <c r="E18" s="7"/>
      <c r="F18" s="7"/>
    </row>
    <row r="19" spans="1:6" ht="19.5" customHeight="1" x14ac:dyDescent="0.3">
      <c r="A19" s="12" t="s">
        <v>16</v>
      </c>
      <c r="B19" s="13"/>
      <c r="C19" s="9">
        <f>IF(C13&gt;0,IFERROR((C13*(C15/12/100)*(1+C15/12/100)^C14)/((1+C15/12/100)^C14-1),"Check"),"")</f>
        <v>8721.9782460092374</v>
      </c>
      <c r="D19" s="7"/>
      <c r="F19" s="7"/>
    </row>
    <row r="20" spans="1:6" ht="19.5" customHeight="1" x14ac:dyDescent="0.3">
      <c r="A20" s="12" t="s">
        <v>17</v>
      </c>
      <c r="B20" s="13"/>
      <c r="C20" s="9">
        <f>IF(C19&lt;&gt;"",C19*C14,"")</f>
        <v>104663.73895211084</v>
      </c>
      <c r="D20" s="7"/>
      <c r="F20" s="7"/>
    </row>
    <row r="21" spans="1:6" ht="19.5" customHeight="1" x14ac:dyDescent="0.3">
      <c r="A21" s="12" t="s">
        <v>18</v>
      </c>
      <c r="B21" s="13"/>
      <c r="C21" s="9">
        <f>IF(C20&lt;&gt;"",C20-C13,"")</f>
        <v>4663.7389521108416</v>
      </c>
      <c r="D21" s="7"/>
      <c r="F21" s="7"/>
    </row>
    <row r="22" spans="1:6" ht="19.5" customHeight="1" x14ac:dyDescent="0.3">
      <c r="A22" s="12" t="s">
        <v>19</v>
      </c>
      <c r="B22" s="13"/>
      <c r="C22" s="9">
        <f>IF(C8&gt;0,C19*12/C8,"")</f>
        <v>10.466373895211085</v>
      </c>
      <c r="D22" s="7"/>
      <c r="F22" s="7"/>
    </row>
    <row r="23" spans="1:6" ht="19.5" customHeight="1" x14ac:dyDescent="0.3">
      <c r="A23" s="12" t="s">
        <v>20</v>
      </c>
      <c r="B23" s="13"/>
      <c r="C23" s="9" t="str">
        <f>IF(B9&gt;=700,IF(C22&lt;=0.4,"ELIGIBLE","High Debt Ratio"),"Low Credit Score")</f>
        <v>Low Credit Score</v>
      </c>
      <c r="D23" s="7"/>
      <c r="F23" s="7"/>
    </row>
  </sheetData>
  <sheetProtection password="C7CA" sheet="1"/>
  <mergeCells count="29">
    <mergeCell ref="A1:F1"/>
    <mergeCell ref="A13:B13"/>
    <mergeCell ref="C13:D13"/>
    <mergeCell ref="A9:B9"/>
    <mergeCell ref="A21:B21"/>
    <mergeCell ref="A5:B5"/>
    <mergeCell ref="A14:B14"/>
    <mergeCell ref="A23:B23"/>
    <mergeCell ref="A8:B8"/>
    <mergeCell ref="A22:B22"/>
    <mergeCell ref="A20:B20"/>
    <mergeCell ref="A19:B19"/>
    <mergeCell ref="C4:D4"/>
    <mergeCell ref="A2:F2"/>
    <mergeCell ref="A16:B16"/>
    <mergeCell ref="C16:D16"/>
    <mergeCell ref="A7:B7"/>
    <mergeCell ref="C9:D9"/>
    <mergeCell ref="A12:B12"/>
    <mergeCell ref="C12:D12"/>
    <mergeCell ref="C8:D8"/>
    <mergeCell ref="A4:B4"/>
    <mergeCell ref="C7:D7"/>
    <mergeCell ref="C6:D6"/>
    <mergeCell ref="A15:B15"/>
    <mergeCell ref="C15:D15"/>
    <mergeCell ref="C5:D5"/>
    <mergeCell ref="C14:D14"/>
    <mergeCell ref="A6:B6"/>
  </mergeCells>
  <dataValidations count="8">
    <dataValidation type="list" allowBlank="1" showErrorMessage="1" errorTitle="Invalid Department" error="Please select a valid department from the dropdown." sqref="C6" xr:uid="{00000000-0002-0000-0000-000000000000}">
      <formula1>"Finance,HR,Operations,IT,Marketing,Legal"</formula1>
    </dataValidation>
    <dataValidation type="list" allowBlank="1" showErrorMessage="1" errorTitle="Invalid Type" error="Select from: Full-Time, Part-Time, Contract, Intern" sqref="C7" xr:uid="{00000000-0002-0000-0000-000001000000}">
      <formula1>"Full-Time,Part-Time,Contract,Intern"</formula1>
    </dataValidation>
    <dataValidation type="whole" operator="greaterThan" showErrorMessage="1" errorTitle="Invalid Income" error="Annual income must be a positive number." sqref="C8" xr:uid="{00000000-0002-0000-0000-000002000000}">
      <formula1>0</formula1>
    </dataValidation>
    <dataValidation type="whole" showInputMessage="1" showErrorMessage="1" errorTitle="Invalid Credit Score" error="Credit score must be between 300 and 900." promptTitle="Credit Score" prompt="Enter a score between 300 and 900." sqref="C9" xr:uid="{00000000-0002-0000-0000-000003000000}">
      <formula1>300</formula1>
      <formula2>900</formula2>
    </dataValidation>
    <dataValidation type="list" allowBlank="1" showErrorMessage="1" errorTitle="Invalid Loan Type" error="Please select a valid loan type." sqref="C12" xr:uid="{00000000-0002-0000-0000-000004000000}">
      <formula1>"Home Loan,Personal Loan,Education Loan,Vehicle Loan,Business Loan"</formula1>
    </dataValidation>
    <dataValidation type="whole" showInputMessage="1" showErrorMessage="1" errorTitle="Invalid Amount" error="Loan amount must be between ₹10,000 and ₹50,00,000." promptTitle="Loan Amount" prompt="Enter amount between ₹10,000 and ₹50,00,000." sqref="C13" xr:uid="{00000000-0002-0000-0000-000005000000}">
      <formula1>10000</formula1>
      <formula2>5000000</formula2>
    </dataValidation>
    <dataValidation type="whole" showInputMessage="1" showErrorMessage="1" errorTitle="Invalid Tenure" error="Tenure must be between 6 and 360 months." promptTitle="Tenure" prompt="Enter loan tenure in months (6 to 360)." sqref="C14" xr:uid="{00000000-0002-0000-0000-000006000000}">
      <formula1>6</formula1>
      <formula2>360</formula2>
    </dataValidation>
    <dataValidation type="decimal" errorStyle="warning" showErrorMessage="1" errorTitle="Invalid Rate" error="Interest rate must be between 1.0% and 30.0%." sqref="C15" xr:uid="{00000000-0002-0000-0000-000007000000}">
      <formula1>1</formula1>
      <formula2>30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zoomScaleNormal="100" workbookViewId="0">
      <selection activeCell="C3" sqref="C3"/>
    </sheetView>
  </sheetViews>
  <sheetFormatPr defaultColWidth="8.6640625" defaultRowHeight="14.4" x14ac:dyDescent="0.3"/>
  <cols>
    <col min="1" max="4" width="12" customWidth="1"/>
    <col min="5" max="5" width="14" customWidth="1"/>
    <col min="6" max="6" width="12" customWidth="1"/>
    <col min="7" max="7" width="22" customWidth="1"/>
  </cols>
  <sheetData>
    <row r="1" spans="1:7" ht="24" customHeight="1" x14ac:dyDescent="0.3">
      <c r="A1" s="17" t="s">
        <v>21</v>
      </c>
      <c r="B1" s="18"/>
      <c r="C1" s="18"/>
      <c r="D1" s="18"/>
      <c r="E1" s="18"/>
      <c r="F1" s="18"/>
      <c r="G1" s="18"/>
    </row>
    <row r="2" spans="1:7" x14ac:dyDescent="0.3">
      <c r="A2" s="1" t="s">
        <v>22</v>
      </c>
      <c r="B2" s="1" t="s">
        <v>23</v>
      </c>
      <c r="C2" s="1" t="s">
        <v>5</v>
      </c>
      <c r="D2" s="1" t="s">
        <v>24</v>
      </c>
      <c r="E2" s="1" t="s">
        <v>25</v>
      </c>
      <c r="F2" s="1" t="s">
        <v>26</v>
      </c>
      <c r="G2" s="1" t="s">
        <v>27</v>
      </c>
    </row>
    <row r="3" spans="1:7" x14ac:dyDescent="0.3">
      <c r="A3" s="2" t="s">
        <v>28</v>
      </c>
      <c r="B3" s="2" t="s">
        <v>29</v>
      </c>
      <c r="C3" s="2" t="s">
        <v>30</v>
      </c>
      <c r="D3" s="2" t="s">
        <v>31</v>
      </c>
      <c r="E3" s="2">
        <v>4500</v>
      </c>
      <c r="F3" s="2" t="s">
        <v>32</v>
      </c>
      <c r="G3" s="3" t="s">
        <v>33</v>
      </c>
    </row>
    <row r="4" spans="1:7" x14ac:dyDescent="0.3">
      <c r="A4" s="4" t="s">
        <v>34</v>
      </c>
      <c r="B4" s="4" t="s">
        <v>35</v>
      </c>
      <c r="C4" s="4" t="s">
        <v>36</v>
      </c>
      <c r="D4" s="4" t="s">
        <v>37</v>
      </c>
      <c r="E4" s="4">
        <v>800</v>
      </c>
      <c r="F4" s="4" t="s">
        <v>38</v>
      </c>
      <c r="G4" s="5" t="s">
        <v>39</v>
      </c>
    </row>
    <row r="5" spans="1:7" x14ac:dyDescent="0.3">
      <c r="A5" s="2" t="s">
        <v>40</v>
      </c>
      <c r="B5" s="2" t="s">
        <v>41</v>
      </c>
      <c r="C5" s="2" t="s">
        <v>30</v>
      </c>
      <c r="D5" s="2" t="s">
        <v>42</v>
      </c>
      <c r="E5" s="2">
        <v>12000</v>
      </c>
      <c r="F5" s="2" t="s">
        <v>32</v>
      </c>
      <c r="G5" s="3" t="s">
        <v>43</v>
      </c>
    </row>
    <row r="6" spans="1:7" x14ac:dyDescent="0.3">
      <c r="A6" s="4" t="s">
        <v>44</v>
      </c>
      <c r="B6" s="4" t="s">
        <v>45</v>
      </c>
      <c r="C6" s="4" t="s">
        <v>46</v>
      </c>
      <c r="D6" s="4" t="s">
        <v>31</v>
      </c>
      <c r="E6" s="4">
        <v>2200</v>
      </c>
      <c r="F6" s="4" t="s">
        <v>32</v>
      </c>
      <c r="G6" s="5" t="s">
        <v>47</v>
      </c>
    </row>
    <row r="7" spans="1:7" x14ac:dyDescent="0.3">
      <c r="A7" s="2" t="s">
        <v>48</v>
      </c>
      <c r="B7" s="2" t="s">
        <v>49</v>
      </c>
      <c r="C7" s="2" t="s">
        <v>50</v>
      </c>
      <c r="D7" s="2" t="s">
        <v>51</v>
      </c>
      <c r="E7" s="2">
        <v>35000</v>
      </c>
      <c r="F7" s="2" t="s">
        <v>38</v>
      </c>
      <c r="G7" s="3" t="s">
        <v>52</v>
      </c>
    </row>
    <row r="8" spans="1:7" x14ac:dyDescent="0.3">
      <c r="A8" s="4" t="s">
        <v>53</v>
      </c>
      <c r="B8" s="4" t="s">
        <v>54</v>
      </c>
      <c r="C8" s="4" t="s">
        <v>30</v>
      </c>
      <c r="D8" s="4" t="s">
        <v>37</v>
      </c>
      <c r="E8" s="4">
        <v>650</v>
      </c>
      <c r="F8" s="4" t="s">
        <v>32</v>
      </c>
      <c r="G8" s="5" t="s">
        <v>55</v>
      </c>
    </row>
    <row r="9" spans="1:7" x14ac:dyDescent="0.3">
      <c r="A9" s="2" t="s">
        <v>56</v>
      </c>
      <c r="B9" s="2" t="s">
        <v>57</v>
      </c>
      <c r="C9" s="2" t="s">
        <v>36</v>
      </c>
      <c r="D9" s="2" t="s">
        <v>58</v>
      </c>
      <c r="E9" s="2">
        <v>8000</v>
      </c>
      <c r="F9" s="2" t="s">
        <v>32</v>
      </c>
      <c r="G9" s="3" t="s">
        <v>59</v>
      </c>
    </row>
    <row r="10" spans="1:7" x14ac:dyDescent="0.3">
      <c r="A10" s="4" t="s">
        <v>60</v>
      </c>
      <c r="B10" s="4" t="s">
        <v>61</v>
      </c>
      <c r="C10" s="4" t="s">
        <v>46</v>
      </c>
      <c r="D10" s="4" t="s">
        <v>31</v>
      </c>
      <c r="E10" s="4">
        <v>5500</v>
      </c>
      <c r="F10" s="4" t="s">
        <v>38</v>
      </c>
      <c r="G10" s="5" t="s">
        <v>62</v>
      </c>
    </row>
    <row r="11" spans="1:7" x14ac:dyDescent="0.3">
      <c r="A11" s="2" t="s">
        <v>63</v>
      </c>
      <c r="B11" s="2" t="s">
        <v>64</v>
      </c>
      <c r="C11" s="2" t="s">
        <v>50</v>
      </c>
      <c r="D11" s="2" t="s">
        <v>42</v>
      </c>
      <c r="E11" s="2">
        <v>22000</v>
      </c>
      <c r="F11" s="2" t="s">
        <v>32</v>
      </c>
      <c r="G11" s="3" t="s">
        <v>65</v>
      </c>
    </row>
    <row r="12" spans="1:7" x14ac:dyDescent="0.3">
      <c r="A12" s="4" t="s">
        <v>66</v>
      </c>
      <c r="B12" s="4" t="s">
        <v>67</v>
      </c>
      <c r="C12" s="4" t="s">
        <v>30</v>
      </c>
      <c r="D12" s="4" t="s">
        <v>51</v>
      </c>
      <c r="E12" s="4">
        <v>18000</v>
      </c>
      <c r="F12" s="4" t="s">
        <v>32</v>
      </c>
      <c r="G12" s="5" t="s">
        <v>68</v>
      </c>
    </row>
  </sheetData>
  <mergeCells count="1">
    <mergeCell ref="A1:G1"/>
  </mergeCells>
  <dataValidations count="4">
    <dataValidation type="list" allowBlank="1" showErrorMessage="1" errorTitle="Invalid Department" error="Select a valid department." sqref="C3:C12" xr:uid="{00000000-0002-0000-0100-000000000000}">
      <formula1>"Finance,HR,Operations,IT,Marketing,Legal"</formula1>
    </dataValidation>
    <dataValidation type="list" allowBlank="1" showErrorMessage="1" errorTitle="Invalid Category" error="Select a valid expense category." sqref="D3:D12" xr:uid="{00000000-0002-0000-0100-000001000000}">
      <formula1>"Travel,Food,Software,Hardware,Training,Utilities,Other"</formula1>
    </dataValidation>
    <dataValidation type="decimal" operator="greaterThan" showErrorMessage="1" errorTitle="Invalid Amount" error="Amount must be greater than 0." sqref="E3:E12" xr:uid="{00000000-0002-0000-0100-000002000000}">
      <formula1>0</formula1>
    </dataValidation>
    <dataValidation type="list" allowBlank="1" showErrorMessage="1" errorTitle="Invalid Value" error="Approved field must be: Yes, No, or Pending." sqref="F3:F12" xr:uid="{00000000-0002-0000-0100-000003000000}">
      <formula1>"Yes,No,Pending"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Normal="100" workbookViewId="0"/>
  </sheetViews>
  <sheetFormatPr defaultColWidth="8.6640625" defaultRowHeight="14.4" x14ac:dyDescent="0.3"/>
  <cols>
    <col min="1" max="4" width="20" customWidth="1"/>
  </cols>
  <sheetData>
    <row r="1" spans="1:4" x14ac:dyDescent="0.3">
      <c r="A1" s="6" t="s">
        <v>69</v>
      </c>
      <c r="B1" s="6" t="s">
        <v>70</v>
      </c>
      <c r="C1" s="6" t="s">
        <v>71</v>
      </c>
      <c r="D1" s="6" t="s">
        <v>72</v>
      </c>
    </row>
    <row r="2" spans="1:4" x14ac:dyDescent="0.3">
      <c r="A2" t="s">
        <v>30</v>
      </c>
      <c r="B2" t="s">
        <v>31</v>
      </c>
      <c r="C2" t="s">
        <v>73</v>
      </c>
      <c r="D2" t="s">
        <v>74</v>
      </c>
    </row>
    <row r="3" spans="1:4" x14ac:dyDescent="0.3">
      <c r="A3" t="s">
        <v>36</v>
      </c>
      <c r="B3" t="s">
        <v>37</v>
      </c>
      <c r="C3" t="s">
        <v>75</v>
      </c>
      <c r="D3" t="s">
        <v>76</v>
      </c>
    </row>
    <row r="4" spans="1:4" x14ac:dyDescent="0.3">
      <c r="A4" t="s">
        <v>77</v>
      </c>
      <c r="B4" t="s">
        <v>42</v>
      </c>
      <c r="C4" t="s">
        <v>78</v>
      </c>
      <c r="D4" t="s">
        <v>79</v>
      </c>
    </row>
    <row r="5" spans="1:4" x14ac:dyDescent="0.3">
      <c r="A5" t="s">
        <v>50</v>
      </c>
      <c r="B5" t="s">
        <v>51</v>
      </c>
      <c r="C5" t="s">
        <v>80</v>
      </c>
      <c r="D5" t="s">
        <v>81</v>
      </c>
    </row>
    <row r="6" spans="1:4" x14ac:dyDescent="0.3">
      <c r="A6" t="s">
        <v>82</v>
      </c>
      <c r="B6" t="s">
        <v>58</v>
      </c>
      <c r="C6" t="s">
        <v>83</v>
      </c>
    </row>
    <row r="7" spans="1:4" x14ac:dyDescent="0.3">
      <c r="A7" t="s">
        <v>84</v>
      </c>
      <c r="B7" t="s">
        <v>85</v>
      </c>
    </row>
    <row r="8" spans="1:4" x14ac:dyDescent="0.3">
      <c r="B8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Loan_Application</vt:lpstr>
      <vt:lpstr>Expenses_Raw</vt:lpstr>
      <vt:lpstr>_Ref_Lists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cp:revision>0</cp:revision>
  <dcterms:created xsi:type="dcterms:W3CDTF">2026-05-01T11:08:47Z</dcterms:created>
  <dcterms:modified xsi:type="dcterms:W3CDTF">2026-05-01T17:25:23Z</dcterms:modified>
  <dc:language>en-US</dc:language>
</cp:coreProperties>
</file>